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2E5090"/>
      <sz val="16"/>
    </font>
    <font>
      <name val="Calibri"/>
      <b val="1"/>
      <color rgb="002E5090"/>
      <sz val="12"/>
    </font>
    <font>
      <name val="Calibri"/>
      <color rgb="00666666"/>
      <sz val="10"/>
    </font>
    <font>
      <name val="Calibri"/>
      <b val="1"/>
      <color rgb="002E5090"/>
      <sz val="14"/>
    </font>
    <font>
      <name val="Calibri"/>
      <b val="1"/>
      <color rgb="002E5090"/>
      <sz val="11"/>
    </font>
    <font>
      <name val="Calibri"/>
      <b val="1"/>
      <color rgb="00FFFFFF"/>
      <sz val="11"/>
    </font>
    <font>
      <name val="Calibri"/>
      <i val="1"/>
      <color rgb="00444444"/>
      <sz val="9"/>
    </font>
    <font>
      <name val="Calibri"/>
      <i val="1"/>
      <color rgb="00999999"/>
      <sz val="8"/>
    </font>
  </fonts>
  <fills count="7">
    <fill>
      <patternFill/>
    </fill>
    <fill>
      <patternFill patternType="gray125"/>
    </fill>
    <fill>
      <patternFill patternType="solid">
        <fgColor rgb="00D4E6F1"/>
        <bgColor rgb="00D4E6F1"/>
      </patternFill>
    </fill>
    <fill>
      <patternFill patternType="solid">
        <fgColor rgb="00E8DAEF"/>
        <bgColor rgb="00E8DAEF"/>
      </patternFill>
    </fill>
    <fill>
      <patternFill patternType="solid">
        <fgColor rgb="00E8F5E9"/>
        <bgColor rgb="00E8F5E9"/>
      </patternFill>
    </fill>
    <fill>
      <patternFill patternType="solid">
        <fgColor rgb="002E5090"/>
        <bgColor rgb="002E5090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Content Output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'Dashboard'!$A$10:$A$15</f>
            </numRef>
          </cat>
          <val>
            <numRef>
              <f>'Dashboard'!$B$10:$B$15</f>
            </numRef>
          </val>
        </ser>
        <ser>
          <idx val="1"/>
          <order val="1"/>
          <tx>
            <strRef>
              <f>'Dashboard'!C9</f>
            </strRef>
          </tx>
          <spPr>
            <a:solidFill>
              <a:srgbClr val="6B5B95"/>
            </a:solidFill>
            <a:ln>
              <a:prstDash val="solid"/>
            </a:ln>
          </spPr>
          <cat>
            <numRef>
              <f>'Dashboard'!$A$10:$A$15</f>
            </numRef>
          </cat>
          <val>
            <numRef>
              <f>'Dashboard'!$C$10:$C$15</f>
            </numRef>
          </val>
        </ser>
        <ser>
          <idx val="2"/>
          <order val="2"/>
          <tx>
            <strRef>
              <f>'Dashboard'!D9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'Dashboard'!$A$10:$A$15</f>
            </numRef>
          </cat>
          <val>
            <numRef>
              <f>'Dashboard'!$D$10:$D$15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Content Pieces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Audience Reach Trend Over 6 Months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'Dashboard'!B21</f>
            </strRef>
          </tx>
          <spPr>
            <a:ln w="25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'Dashboard'!$A$22:$A$27</f>
            </numRef>
          </cat>
          <val>
            <numRef>
              <f>'Dashboard'!$B$22:$B$27</f>
            </numRef>
          </val>
        </ser>
        <ser>
          <idx val="1"/>
          <order val="1"/>
          <tx>
            <strRef>
              <f>'Dashboard'!C21</f>
            </strRef>
          </tx>
          <spPr>
            <a:ln w="25000">
              <a:solidFill>
                <a:srgbClr val="6B5B9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'Dashboard'!$A$22:$A$27</f>
            </numRef>
          </cat>
          <val>
            <numRef>
              <f>'Dashboard'!$C$22:$C$27</f>
            </numRef>
          </val>
        </ser>
        <ser>
          <idx val="2"/>
          <order val="2"/>
          <tx>
            <strRef>
              <f>'Dashboard'!D21</f>
            </strRef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'Dashboard'!$A$22:$A$27</f>
            </numRef>
          </cat>
          <val>
            <numRef>
              <f>'Dashboard'!$D$22:$D$27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Audience Reach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2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0" customHeight="1">
      <c r="A1" s="1" t="inlineStr">
        <is>
          <t>Operational Communications Dashboard — Multi-Site Manufacturing (Concept Project)</t>
        </is>
      </c>
    </row>
    <row r="3">
      <c r="A3" s="2" t="inlineStr">
        <is>
          <t>Key Performance Indicators</t>
        </is>
      </c>
    </row>
    <row r="4">
      <c r="B4" s="3" t="inlineStr">
        <is>
          <t>Total Content Output</t>
        </is>
      </c>
      <c r="D4" s="3" t="inlineStr">
        <is>
          <t>Avg Audience Reach</t>
        </is>
      </c>
      <c r="F4" s="3" t="inlineStr">
        <is>
          <t>On-Time Delivery Rate</t>
        </is>
      </c>
    </row>
    <row r="5">
      <c r="B5" s="4" t="inlineStr">
        <is>
          <t>434 pieces</t>
        </is>
      </c>
      <c r="D5" s="5" t="inlineStr">
        <is>
          <t>34,700</t>
        </is>
      </c>
      <c r="F5" s="6" t="inlineStr">
        <is>
          <t>95.3%</t>
        </is>
      </c>
    </row>
    <row r="8">
      <c r="A8" s="7" t="inlineStr">
        <is>
          <t>Monthly Content Output by Type</t>
        </is>
      </c>
    </row>
    <row r="9">
      <c r="A9" s="8" t="inlineStr">
        <is>
          <t>Month</t>
        </is>
      </c>
      <c r="B9" s="8" t="inlineStr">
        <is>
          <t>Newsletters</t>
        </is>
      </c>
      <c r="C9" s="8" t="inlineStr">
        <is>
          <t>Press Releases</t>
        </is>
      </c>
      <c r="D9" s="8" t="inlineStr">
        <is>
          <t>Social Posts</t>
        </is>
      </c>
    </row>
    <row r="10">
      <c r="A10" s="9" t="inlineStr">
        <is>
          <t>Jan</t>
        </is>
      </c>
      <c r="B10" s="10" t="n">
        <v>8</v>
      </c>
      <c r="C10" s="11" t="n">
        <v>5</v>
      </c>
      <c r="D10" s="12" t="n">
        <v>45</v>
      </c>
    </row>
    <row r="11">
      <c r="A11" s="9" t="inlineStr">
        <is>
          <t>Feb</t>
        </is>
      </c>
      <c r="B11" s="10" t="n">
        <v>10</v>
      </c>
      <c r="C11" s="11" t="n">
        <v>6</v>
      </c>
      <c r="D11" s="12" t="n">
        <v>52</v>
      </c>
    </row>
    <row r="12">
      <c r="A12" s="9" t="inlineStr">
        <is>
          <t>Mar</t>
        </is>
      </c>
      <c r="B12" s="10" t="n">
        <v>12</v>
      </c>
      <c r="C12" s="11" t="n">
        <v>4</v>
      </c>
      <c r="D12" s="12" t="n">
        <v>48</v>
      </c>
    </row>
    <row r="13">
      <c r="A13" s="9" t="inlineStr">
        <is>
          <t>Apr</t>
        </is>
      </c>
      <c r="B13" s="10" t="n">
        <v>11</v>
      </c>
      <c r="C13" s="11" t="n">
        <v>7</v>
      </c>
      <c r="D13" s="12" t="n">
        <v>61</v>
      </c>
    </row>
    <row r="14">
      <c r="A14" s="9" t="inlineStr">
        <is>
          <t>May</t>
        </is>
      </c>
      <c r="B14" s="10" t="n">
        <v>14</v>
      </c>
      <c r="C14" s="11" t="n">
        <v>5</v>
      </c>
      <c r="D14" s="12" t="n">
        <v>58</v>
      </c>
    </row>
    <row r="15">
      <c r="A15" s="9" t="inlineStr">
        <is>
          <t>Jun</t>
        </is>
      </c>
      <c r="B15" s="10" t="n">
        <v>13</v>
      </c>
      <c r="C15" s="11" t="n">
        <v>8</v>
      </c>
      <c r="D15" s="12" t="n">
        <v>67</v>
      </c>
    </row>
    <row r="17">
      <c r="A17" s="13" t="inlineStr">
        <is>
          <t>Insight: Social posts drive the highest content volume and show consistent growth (+49% from Jan to Jun).</t>
        </is>
      </c>
    </row>
    <row r="18">
      <c r="A18" s="13" t="inlineStr">
        <is>
          <t>Newsletters and press releases remain stable with slight upward trends, indicating reliable editorial cadence.</t>
        </is>
      </c>
    </row>
    <row r="20">
      <c r="A20" s="7" t="inlineStr">
        <is>
          <t>Monthly Audience Reach Trend</t>
        </is>
      </c>
    </row>
    <row r="21">
      <c r="A21" s="8" t="inlineStr">
        <is>
          <t>Month</t>
        </is>
      </c>
      <c r="B21" s="8" t="inlineStr">
        <is>
          <t>Email Reach</t>
        </is>
      </c>
      <c r="C21" s="8" t="inlineStr">
        <is>
          <t>Social Reach</t>
        </is>
      </c>
      <c r="D21" s="8" t="inlineStr">
        <is>
          <t>PR Reach</t>
        </is>
      </c>
    </row>
    <row r="22">
      <c r="A22" s="9" t="inlineStr">
        <is>
          <t>Jan</t>
        </is>
      </c>
      <c r="B22" s="10" t="n">
        <v>12500</v>
      </c>
      <c r="C22" s="11" t="n">
        <v>8900</v>
      </c>
      <c r="D22" s="14" t="n">
        <v>5600</v>
      </c>
    </row>
    <row r="23">
      <c r="A23" s="9" t="inlineStr">
        <is>
          <t>Feb</t>
        </is>
      </c>
      <c r="B23" s="10" t="n">
        <v>14200</v>
      </c>
      <c r="C23" s="11" t="n">
        <v>11200</v>
      </c>
      <c r="D23" s="14" t="n">
        <v>6200</v>
      </c>
    </row>
    <row r="24">
      <c r="A24" s="9" t="inlineStr">
        <is>
          <t>Mar</t>
        </is>
      </c>
      <c r="B24" s="10" t="n">
        <v>13800</v>
      </c>
      <c r="C24" s="11" t="n">
        <v>10800</v>
      </c>
      <c r="D24" s="14" t="n">
        <v>5800</v>
      </c>
    </row>
    <row r="25">
      <c r="A25" s="9" t="inlineStr">
        <is>
          <t>Apr</t>
        </is>
      </c>
      <c r="B25" s="10" t="n">
        <v>16500</v>
      </c>
      <c r="C25" s="11" t="n">
        <v>13500</v>
      </c>
      <c r="D25" s="14" t="n">
        <v>7100</v>
      </c>
    </row>
    <row r="26">
      <c r="A26" s="9" t="inlineStr">
        <is>
          <t>May</t>
        </is>
      </c>
      <c r="B26" s="10" t="n">
        <v>17200</v>
      </c>
      <c r="C26" s="11" t="n">
        <v>14200</v>
      </c>
      <c r="D26" s="14" t="n">
        <v>6800</v>
      </c>
    </row>
    <row r="27">
      <c r="A27" s="9" t="inlineStr">
        <is>
          <t>Jun</t>
        </is>
      </c>
      <c r="B27" s="10" t="n">
        <v>18900</v>
      </c>
      <c r="C27" s="11" t="n">
        <v>16800</v>
      </c>
      <c r="D27" s="14" t="n">
        <v>8200</v>
      </c>
    </row>
    <row r="29">
      <c r="A29" s="13" t="inlineStr">
        <is>
          <t>Insight: Email reach shows strong sustained growth (+51% from Jan to Jun), driven by newsletter expansion.</t>
        </is>
      </c>
    </row>
    <row r="30">
      <c r="A30" s="13" t="inlineStr">
        <is>
          <t>Social reach demonstrates the steepest growth trajectory (+89%), reflecting successful engagement strategies.</t>
        </is>
      </c>
    </row>
    <row r="32">
      <c r="A32" s="7" t="inlineStr">
        <is>
          <t>On-Time Delivery Rate vs 95% Target</t>
        </is>
      </c>
    </row>
    <row r="33">
      <c r="A33" s="8" t="inlineStr">
        <is>
          <t>Month</t>
        </is>
      </c>
      <c r="B33" s="8" t="inlineStr">
        <is>
          <t>Delivery Rate</t>
        </is>
      </c>
      <c r="C33" s="8" t="inlineStr">
        <is>
          <t>Target Met</t>
        </is>
      </c>
    </row>
    <row r="34">
      <c r="A34" s="9" t="inlineStr">
        <is>
          <t>Jan</t>
        </is>
      </c>
      <c r="B34" s="15" t="n">
        <v>0.9399999999999999</v>
      </c>
      <c r="C34" s="9" t="inlineStr">
        <is>
          <t>✗ No</t>
        </is>
      </c>
    </row>
    <row r="35">
      <c r="A35" s="9" t="inlineStr">
        <is>
          <t>Feb</t>
        </is>
      </c>
      <c r="B35" s="15" t="n">
        <v>0.96</v>
      </c>
      <c r="C35" s="9" t="inlineStr">
        <is>
          <t>✓ Yes</t>
        </is>
      </c>
    </row>
    <row r="36">
      <c r="A36" s="9" t="inlineStr">
        <is>
          <t>Mar</t>
        </is>
      </c>
      <c r="B36" s="15" t="n">
        <v>0.92</v>
      </c>
      <c r="C36" s="9" t="inlineStr">
        <is>
          <t>✗ No</t>
        </is>
      </c>
    </row>
    <row r="37">
      <c r="A37" s="9" t="inlineStr">
        <is>
          <t>Apr</t>
        </is>
      </c>
      <c r="B37" s="15" t="n">
        <v>0.97</v>
      </c>
      <c r="C37" s="9" t="inlineStr">
        <is>
          <t>✓ Yes</t>
        </is>
      </c>
    </row>
    <row r="38">
      <c r="A38" s="9" t="inlineStr">
        <is>
          <t>May</t>
        </is>
      </c>
      <c r="B38" s="15" t="n">
        <v>0.95</v>
      </c>
      <c r="C38" s="9" t="inlineStr">
        <is>
          <t>✓ Yes</t>
        </is>
      </c>
    </row>
    <row r="39">
      <c r="A39" s="9" t="inlineStr">
        <is>
          <t>Jun</t>
        </is>
      </c>
      <c r="B39" s="15" t="n">
        <v>0.98</v>
      </c>
      <c r="C39" s="9" t="inlineStr">
        <is>
          <t>✓ Yes</t>
        </is>
      </c>
    </row>
    <row r="41">
      <c r="A41" s="13" t="inlineStr">
        <is>
          <t>Insight: 4 out of 6 months exceeded the 95% on-time delivery target, with performance improving in Q2.</t>
        </is>
      </c>
    </row>
    <row r="42">
      <c r="A42" s="13" t="inlineStr">
        <is>
          <t>March dip (92%) was an outlier; subsequent months averaged 96.7%, indicating process stabilization.</t>
        </is>
      </c>
    </row>
    <row r="44">
      <c r="A44" s="16" t="inlineStr">
        <is>
          <t>Generated: Concept Project | Data Period: January - June 2025</t>
        </is>
      </c>
    </row>
  </sheetData>
  <mergeCells count="12">
    <mergeCell ref="A30:E30"/>
    <mergeCell ref="A29:E29"/>
    <mergeCell ref="A8:D8"/>
    <mergeCell ref="A32:C32"/>
    <mergeCell ref="A20:D20"/>
    <mergeCell ref="A1:I1"/>
    <mergeCell ref="A3:C3"/>
    <mergeCell ref="A41:D41"/>
    <mergeCell ref="A42:D42"/>
    <mergeCell ref="A17:E17"/>
    <mergeCell ref="A18:E18"/>
    <mergeCell ref="A44:D44"/>
  </mergeCells>
  <conditionalFormatting sqref="B34:B39">
    <cfRule type="cellIs" priority="1" operator="greaterThanOrEqual" dxfId="0">
      <formula>0.95</formula>
    </cfRule>
    <cfRule type="cellIs" priority="2" operator="lessThan" dxfId="1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2026-04-27T17:40:25Z</dcterms:created>
  <dcterms:modified xsi:type="dcterms:W3CDTF">2026-04-27T17:40:25Z</dcterms:modified>
</cp:coreProperties>
</file>